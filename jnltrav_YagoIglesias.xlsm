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D:\P_Sec\"/>
    </mc:Choice>
  </mc:AlternateContent>
  <xr:revisionPtr revIDLastSave="0" documentId="13_ncr:1_{3EC29630-E416-432B-B0EB-36D35092DCFD}" xr6:coauthVersionLast="47"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D153" i="155" s="1"/>
  <c r="B170" i="155"/>
  <c r="B151" i="155"/>
  <c r="B132" i="155"/>
  <c r="B113" i="155"/>
  <c r="B94" i="155"/>
  <c r="B75" i="155"/>
  <c r="B56" i="155"/>
  <c r="B37" i="155"/>
  <c r="B18" i="155"/>
  <c r="B18" i="154"/>
  <c r="B13" i="11" l="1"/>
</calcChain>
</file>

<file path=xl/sharedStrings.xml><?xml version="1.0" encoding="utf-8"?>
<sst xmlns="http://schemas.openxmlformats.org/spreadsheetml/2006/main" count="152" uniqueCount="58">
  <si>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</si>
  <si>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</si>
  <si>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</si>
  <si>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</si>
  <si>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</si>
  <si>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</si>
  <si>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</si>
  <si>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</si>
  <si>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</si>
  <si>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</si>
  <si>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</si>
  <si>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</si>
  <si>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</si>
  <si>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</si>
  <si>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</si>
  <si>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</si>
  <si>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</si>
  <si>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</si>
  <si>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</si>
  <si>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</si>
  <si>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</si>
  <si>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</si>
  <si>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</si>
  <si>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</si>
  <si>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Yago Iglesias Rodriguez</t>
  </si>
  <si>
    <t>FIN1</t>
  </si>
  <si>
    <t>ETML - Vennes</t>
  </si>
  <si>
    <t>Max. 9</t>
  </si>
  <si>
    <t>STOP</t>
  </si>
  <si>
    <t>Prise en main du CDC</t>
  </si>
  <si>
    <t>Lecture dus cahier des charges et discuter en classe avec le client afin d'avoir toutes les informations</t>
  </si>
  <si>
    <t>P_Secu 114</t>
  </si>
  <si>
    <t xml:space="preserve">Classe menu </t>
  </si>
  <si>
    <t>Création d'une classe menu et debut de la création d'un cfichier pour les PS</t>
  </si>
  <si>
    <t xml:space="preserve">essayer de ajouter des mots de passe et les afficher </t>
  </si>
  <si>
    <t>Chiffrer le mot de passe</t>
  </si>
  <si>
    <t>Recherche sur internet pour comprendre la logique et ensuite creation d'une méthode ou on transforme la chaine de char en char individuel et ensuite ils sont stockes dans un tableau. Apres il faut stocker la valeur numerique du char et le stocker dans un tableau de int avec le decalage de notre choix.</t>
  </si>
  <si>
    <t xml:space="preserve">Conecter la classe ps dans le menu pour attaindre le ps a chiffrer </t>
  </si>
  <si>
    <t>Ecreation du menu et essayer d'afficher les informations de l'application qu'on veut ajouter et lire les infos, mais il y a un problème pour le moment seulment la création d'un fichier vide fonctione</t>
  </si>
  <si>
    <t>Dans la classe LogFile la méthode chiffrer() nous permet de retourner le mot de passe qu'on stock dans la classe Applications() affin de pouvoir apres l'écrir dans un fichier, test effectuer et ca marche, un fichier avec le nom de l'app est créé et contient les informations chifrres. Les fichiers sont stockes sur un dossier password qui se trouve dans le repertoire de l'executable.</t>
  </si>
  <si>
    <t>Chiffrer le mot de passe et login</t>
  </si>
  <si>
    <t xml:space="preserve">Lire les informations decriptes </t>
  </si>
  <si>
    <t xml:space="preserve">Essayer de dechiffrer et afficher </t>
  </si>
  <si>
    <t>Test du module 114</t>
  </si>
  <si>
    <t>Classe KeyPasse</t>
  </si>
  <si>
    <t>Classe pour créér la clé de l'utilisateur, elle est stocker dans un fichier chiffrer avec la méthode césar pour le moment, ceci permet de demander 1 fois a l'utilisateur a moin qu'il efface le ficchier car il n'est pas encore possible de changer la clé.</t>
  </si>
  <si>
    <t>Méthode CryptageVigenere() pour cripter le mot de passe selon le chiffrement vigenere il fallais faire des recherches, mais une fois le fonctionnement était compris c'était bon, j'ai remplacer le mot de passe par la clé et ensuite additioner le mot de passe original puis la cle qu'il le remplacer modulo 256, pour decripter c'est le même principe il faut just faire une sustraction.Ceci marche uniquement pour les fichier criptes par la méthode vigènere mais pas césar.</t>
  </si>
  <si>
    <t>Chiffrementvigènere</t>
  </si>
  <si>
    <t>Creation de la méthode pour chiffrerer et dechiffrer la clé par elle-même ceci suit le même principe que la méthode effectuer precedament mais il faut additionner la cle deux fois</t>
  </si>
  <si>
    <t>Classe LogFile</t>
  </si>
  <si>
    <t>https://fr.wikipedia.org/wiki/Chiffre_de_Vigen%C3%A8re#:~:text=Le%20chiffre%20de%20Vigen%C3%A8re%20est,de%20C%C3%A9sar%20(qu'il%20utilise</t>
  </si>
  <si>
    <t>ModifyPasseword() est la méthode qui permet de modifier l'url, login et passeword d'un fichier existant, c'est presque la même chose que pour créer un fichier mais il faut ecrir dans le même fichier</t>
  </si>
  <si>
    <t>19.05.2024 : Méthode CheckOrGenerateKey() pour decrypter la clé si elle existe dans le fichier, si non le fichier est créer, la clé est controler au debut du programme, si la clé est fausse alors le programme s'arrete</t>
  </si>
  <si>
    <t>19.05.2024 : Méthode ChangeKey cette méthode permet de changer la clé donc elle va dechiffrer les fichier encryptes avec l'ancienne clé afin de recuperer les informations et ensuite pouvoir les chiffrer à nouveau afin de pouvoir les lire avec la nouvelle clé choisi. Pour ceci il fallais créér deux méthodes suplementaires dans la clssse LogFile : DecryptFileIfKeyChange() et EncryptFileIfKeyChange() car la méthode ReadFile qui retourne le tableau d'informations ne me permete pas de recuperer toutes les infos seulment le mot de passe donc j'ai opter pour concatener les infos et les retournes dans un string fullInfo.</t>
  </si>
  <si>
    <t>20.05.2024 : Méthode HideInput() qui permet de masquer la saisie du mot de passe que l'utilisateur va rentrer ceci n'etais pas compliquer sauf pour effacer le caracter, j'ai du demander au copilote bing qui m'as dit qu'il fallais utiliser "\b \b"</t>
  </si>
  <si>
    <t>Debug</t>
  </si>
  <si>
    <t>21.05.2024: Si on selectione la clé le programme s'arrete au dechiffrement du login ceci est régler avec l'addition de 256 à la clé</t>
  </si>
  <si>
    <t>21.05.2024 : Méthode DeletePasseword() qui permet de supprime run fichier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</si>
</sst>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14" fontId="0" fillId="0" borderId="2" xfId="0" applyNumberFormat="1"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28575</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57150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66675</xdr:colOff>
          <xdr:row>10</xdr:row>
          <xdr:rowOff>133350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219075</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fr.wikipedia.org/wiki/Chiffre_de_Vigen%C3%A8re"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3" zoomScaleNormal="100" zoomScaleSheetLayoutView="100" workbookViewId="0">
      <selection activeCell="C27" sqref="C27"/>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31</v>
      </c>
      <c r="D3" s="59"/>
      <c r="E3" s="59"/>
      <c r="F3" s="59"/>
      <c r="G3" s="60"/>
    </row>
    <row r="4" spans="1:7" ht="20.25" x14ac:dyDescent="0.25">
      <c r="A4" s="58"/>
      <c r="B4" s="63" t="s">
        <v>4</v>
      </c>
      <c r="C4" s="64" t="s">
        <v>24</v>
      </c>
      <c r="D4" s="59"/>
      <c r="E4" s="59"/>
      <c r="F4" s="59"/>
      <c r="G4" s="60"/>
    </row>
    <row r="5" spans="1:7" ht="20.25" x14ac:dyDescent="0.25">
      <c r="A5" s="58"/>
      <c r="B5" s="63" t="s">
        <v>1</v>
      </c>
      <c r="C5" s="64" t="s">
        <v>25</v>
      </c>
      <c r="D5" s="59"/>
      <c r="E5" s="59"/>
      <c r="F5" s="59"/>
      <c r="G5" s="60"/>
    </row>
    <row r="6" spans="1:7" ht="21" thickBot="1" x14ac:dyDescent="0.3">
      <c r="A6" s="58"/>
      <c r="B6" s="65" t="s">
        <v>2</v>
      </c>
      <c r="C6" s="66" t="s">
        <v>26</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45370</v>
      </c>
      <c r="D9" s="59"/>
      <c r="E9" s="59"/>
      <c r="F9" s="59"/>
      <c r="G9" s="60"/>
    </row>
    <row r="10" spans="1:7" ht="20.25" x14ac:dyDescent="0.25">
      <c r="A10" s="58"/>
      <c r="B10" s="68" t="s">
        <v>8</v>
      </c>
      <c r="C10" s="69">
        <v>45440</v>
      </c>
      <c r="D10" s="59"/>
      <c r="E10" s="59"/>
      <c r="F10" s="59"/>
      <c r="G10" s="60"/>
    </row>
    <row r="11" spans="1:7" ht="20.25" x14ac:dyDescent="0.25">
      <c r="A11" s="58"/>
      <c r="B11" s="68" t="s">
        <v>10</v>
      </c>
      <c r="C11" s="70">
        <v>9</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6" t="s">
        <v>19</v>
      </c>
      <c r="C19" s="97"/>
      <c r="D19" s="59"/>
      <c r="E19" s="59"/>
      <c r="F19" s="59"/>
      <c r="G19" s="60"/>
    </row>
    <row r="20" spans="1:7" ht="20.25" x14ac:dyDescent="0.25">
      <c r="A20" s="78"/>
      <c r="B20" s="79" t="s">
        <v>20</v>
      </c>
      <c r="C20" s="80" t="s">
        <v>21</v>
      </c>
      <c r="D20" s="59"/>
      <c r="E20" s="59"/>
      <c r="F20" s="59"/>
      <c r="G20" s="60"/>
    </row>
    <row r="21" spans="1:7" ht="20.25" x14ac:dyDescent="0.25">
      <c r="A21" s="78"/>
      <c r="B21" s="79">
        <v>1</v>
      </c>
      <c r="C21" s="69" t="s">
        <v>29</v>
      </c>
      <c r="D21" s="59"/>
      <c r="E21" s="59"/>
      <c r="F21" s="59"/>
      <c r="G21" s="60"/>
    </row>
    <row r="22" spans="1:7" ht="20.25" x14ac:dyDescent="0.25">
      <c r="A22" s="78"/>
      <c r="B22" s="79">
        <v>2</v>
      </c>
      <c r="C22" s="70" t="s">
        <v>32</v>
      </c>
      <c r="D22" s="59"/>
      <c r="E22" s="59"/>
      <c r="F22" s="59"/>
      <c r="G22" s="60"/>
    </row>
    <row r="23" spans="1:7" ht="20.25" x14ac:dyDescent="0.25">
      <c r="A23" s="78"/>
      <c r="B23" s="81">
        <v>3</v>
      </c>
      <c r="C23" s="70" t="s">
        <v>40</v>
      </c>
      <c r="D23" s="59"/>
      <c r="E23" s="59"/>
      <c r="F23" s="59"/>
      <c r="G23" s="60"/>
    </row>
    <row r="24" spans="1:7" ht="20.25" x14ac:dyDescent="0.25">
      <c r="A24" s="78"/>
      <c r="B24" s="79">
        <v>4</v>
      </c>
      <c r="C24" s="70" t="s">
        <v>41</v>
      </c>
      <c r="D24" s="59"/>
      <c r="E24" s="59"/>
      <c r="F24" s="59"/>
      <c r="G24" s="60"/>
    </row>
    <row r="25" spans="1:7" ht="20.25" x14ac:dyDescent="0.25">
      <c r="A25" s="78"/>
      <c r="B25" s="79">
        <v>5</v>
      </c>
      <c r="C25" s="70" t="s">
        <v>44</v>
      </c>
      <c r="D25" s="59"/>
      <c r="E25" s="59"/>
      <c r="F25" s="59"/>
      <c r="G25" s="60"/>
    </row>
    <row r="26" spans="1:7" ht="20.25" x14ac:dyDescent="0.25">
      <c r="A26" s="78"/>
      <c r="B26" s="81">
        <v>6</v>
      </c>
      <c r="C26" s="70" t="s">
        <v>47</v>
      </c>
      <c r="D26" s="59"/>
      <c r="E26" s="59"/>
      <c r="F26" s="59"/>
      <c r="G26" s="60"/>
    </row>
    <row r="27" spans="1:7" ht="20.25" x14ac:dyDescent="0.25">
      <c r="A27" s="78"/>
      <c r="B27" s="79">
        <v>7</v>
      </c>
      <c r="C27" s="70" t="s">
        <v>49</v>
      </c>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8" t="s">
        <v>21</v>
      </c>
      <c r="C3" s="16">
        <v>0</v>
      </c>
    </row>
    <row r="4" spans="1:4" ht="19.5" customHeight="1" x14ac:dyDescent="0.25">
      <c r="A4" s="19"/>
      <c r="B4" s="99"/>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D75B5-8CE0-4660-A6B2-F36366736FCA}">
  <sheetPr codeName="Feuil9"/>
  <dimension ref="A1:H172"/>
  <sheetViews>
    <sheetView tabSelected="1" topLeftCell="A156" workbookViewId="0">
      <selection activeCell="C168" sqref="C16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45370</v>
      </c>
    </row>
    <row r="2" spans="1:4" ht="27.75" thickBot="1" x14ac:dyDescent="0.3">
      <c r="A2" s="45" t="s">
        <v>3</v>
      </c>
      <c r="B2" s="46" t="s">
        <v>15</v>
      </c>
      <c r="C2" s="45" t="s">
        <v>7</v>
      </c>
      <c r="D2" s="45" t="s">
        <v>13</v>
      </c>
    </row>
    <row r="3" spans="1:4" s="52" customFormat="1" ht="27" x14ac:dyDescent="0.25">
      <c r="A3" s="5" t="s">
        <v>29</v>
      </c>
      <c r="B3" s="4">
        <v>3</v>
      </c>
      <c r="C3" s="88" t="s">
        <v>30</v>
      </c>
      <c r="D3" s="9"/>
    </row>
    <row r="4" spans="1:4" s="52" customFormat="1" x14ac:dyDescent="0.25">
      <c r="A4" s="1" t="s">
        <v>32</v>
      </c>
      <c r="B4" s="2">
        <v>6</v>
      </c>
      <c r="C4" s="89" t="s">
        <v>33</v>
      </c>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9</v>
      </c>
      <c r="C18" s="86" t="s">
        <v>27</v>
      </c>
      <c r="D18" s="48"/>
    </row>
    <row r="19" spans="1:8" ht="15" thickBot="1" x14ac:dyDescent="0.35">
      <c r="A19" s="49"/>
      <c r="B19" s="49"/>
      <c r="C19" s="49"/>
      <c r="D19" s="49"/>
    </row>
    <row r="20" spans="1:8" ht="18.75" thickBot="1" x14ac:dyDescent="0.3">
      <c r="A20" s="42" t="s">
        <v>14</v>
      </c>
      <c r="B20" s="43">
        <v>2</v>
      </c>
      <c r="C20" s="44" t="s">
        <v>23</v>
      </c>
      <c r="D20" s="53">
        <f>$D$1+7</f>
        <v>45377</v>
      </c>
    </row>
    <row r="21" spans="1:8" ht="27.75" thickBot="1" x14ac:dyDescent="0.3">
      <c r="A21" s="45" t="s">
        <v>3</v>
      </c>
      <c r="B21" s="46" t="s">
        <v>15</v>
      </c>
      <c r="C21" s="45" t="s">
        <v>7</v>
      </c>
      <c r="D21" s="45" t="s">
        <v>13</v>
      </c>
    </row>
    <row r="22" spans="1:8" x14ac:dyDescent="0.25">
      <c r="A22" s="5" t="s">
        <v>32</v>
      </c>
      <c r="B22" s="4">
        <v>9</v>
      </c>
      <c r="C22" s="88" t="s">
        <v>34</v>
      </c>
      <c r="D22" s="9"/>
    </row>
    <row r="23" spans="1:8" x14ac:dyDescent="0.25">
      <c r="A23" s="1"/>
      <c r="B23" s="2"/>
      <c r="C23" s="10"/>
      <c r="D23" s="10"/>
    </row>
    <row r="24" spans="1:8" x14ac:dyDescent="0.25">
      <c r="A24" s="1"/>
      <c r="B24" s="2"/>
      <c r="C24" s="10"/>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9</v>
      </c>
      <c r="C37" s="86" t="s">
        <v>27</v>
      </c>
      <c r="D37" s="48"/>
    </row>
    <row r="38" spans="1:8" ht="15" thickBot="1" x14ac:dyDescent="0.35">
      <c r="A38" s="49"/>
      <c r="B38" s="49"/>
      <c r="C38" s="49"/>
      <c r="D38" s="49"/>
    </row>
    <row r="39" spans="1:8" ht="18.75" thickBot="1" x14ac:dyDescent="0.3">
      <c r="A39" s="42" t="s">
        <v>14</v>
      </c>
      <c r="B39" s="43">
        <v>3</v>
      </c>
      <c r="C39" s="44" t="s">
        <v>23</v>
      </c>
      <c r="D39" s="53">
        <f>$D$20+7</f>
        <v>45384</v>
      </c>
    </row>
    <row r="40" spans="1:8" ht="27.75" thickBot="1" x14ac:dyDescent="0.3">
      <c r="A40" s="45" t="s">
        <v>3</v>
      </c>
      <c r="B40" s="46" t="s">
        <v>15</v>
      </c>
      <c r="C40" s="45" t="s">
        <v>7</v>
      </c>
      <c r="D40" s="45" t="s">
        <v>13</v>
      </c>
    </row>
    <row r="41" spans="1:8" x14ac:dyDescent="0.25">
      <c r="A41" s="5"/>
      <c r="B41" s="4"/>
      <c r="C41" s="9"/>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0</v>
      </c>
      <c r="C56" s="86" t="s">
        <v>27</v>
      </c>
      <c r="D56" s="48"/>
    </row>
    <row r="57" spans="1:4" ht="15" thickBot="1" x14ac:dyDescent="0.35">
      <c r="A57" s="49"/>
      <c r="B57" s="49"/>
      <c r="C57" s="49"/>
      <c r="D57" s="49"/>
    </row>
    <row r="58" spans="1:4" ht="18.75" thickBot="1" x14ac:dyDescent="0.3">
      <c r="A58" s="42" t="s">
        <v>14</v>
      </c>
      <c r="B58" s="43">
        <v>4</v>
      </c>
      <c r="C58" s="44" t="s">
        <v>23</v>
      </c>
      <c r="D58" s="53">
        <f>$D$39+7</f>
        <v>45391</v>
      </c>
    </row>
    <row r="59" spans="1:4" ht="27.75" thickBot="1" x14ac:dyDescent="0.3">
      <c r="A59" s="45" t="s">
        <v>3</v>
      </c>
      <c r="B59" s="46" t="s">
        <v>15</v>
      </c>
      <c r="C59" s="45" t="s">
        <v>7</v>
      </c>
      <c r="D59" s="45"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0</v>
      </c>
      <c r="C75" s="86" t="s">
        <v>27</v>
      </c>
      <c r="D75" s="48"/>
    </row>
    <row r="76" spans="1:4" ht="15" thickBot="1" x14ac:dyDescent="0.35">
      <c r="A76" s="49"/>
      <c r="B76" s="49"/>
      <c r="C76" s="49"/>
      <c r="D76" s="49"/>
    </row>
    <row r="77" spans="1:4" ht="18.75" thickBot="1" x14ac:dyDescent="0.3">
      <c r="A77" s="42" t="s">
        <v>14</v>
      </c>
      <c r="B77" s="43">
        <v>5</v>
      </c>
      <c r="C77" s="44" t="s">
        <v>23</v>
      </c>
      <c r="D77" s="53">
        <f>$D$58+7</f>
        <v>45398</v>
      </c>
    </row>
    <row r="78" spans="1:4" ht="27.75" thickBot="1" x14ac:dyDescent="0.3">
      <c r="A78" s="45" t="s">
        <v>3</v>
      </c>
      <c r="B78" s="46" t="s">
        <v>15</v>
      </c>
      <c r="C78" s="45" t="s">
        <v>7</v>
      </c>
      <c r="D78" s="45" t="s">
        <v>13</v>
      </c>
    </row>
    <row r="79" spans="1:4" ht="54" x14ac:dyDescent="0.25">
      <c r="A79" s="5" t="s">
        <v>35</v>
      </c>
      <c r="B79" s="4">
        <v>6</v>
      </c>
      <c r="C79" s="88" t="s">
        <v>36</v>
      </c>
      <c r="D79" s="9"/>
    </row>
    <row r="80" spans="1:4" x14ac:dyDescent="0.25">
      <c r="A80" s="1" t="s">
        <v>32</v>
      </c>
      <c r="B80" s="2">
        <v>3</v>
      </c>
      <c r="C80" s="89" t="s">
        <v>37</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9</v>
      </c>
      <c r="C94" s="86" t="s">
        <v>27</v>
      </c>
      <c r="D94" s="48"/>
    </row>
    <row r="95" spans="1:4" ht="15" thickBot="1" x14ac:dyDescent="0.35">
      <c r="A95" s="49"/>
      <c r="B95" s="49"/>
      <c r="C95" s="49"/>
      <c r="D95" s="49"/>
    </row>
    <row r="96" spans="1:4" ht="18.75" thickBot="1" x14ac:dyDescent="0.3">
      <c r="A96" s="42" t="s">
        <v>14</v>
      </c>
      <c r="B96" s="43">
        <v>6</v>
      </c>
      <c r="C96" s="44" t="s">
        <v>23</v>
      </c>
      <c r="D96" s="53">
        <f>$D$77+7</f>
        <v>45405</v>
      </c>
    </row>
    <row r="97" spans="1:4" ht="27.75" thickBot="1" x14ac:dyDescent="0.3">
      <c r="A97" s="45" t="s">
        <v>3</v>
      </c>
      <c r="B97" s="46" t="s">
        <v>15</v>
      </c>
      <c r="C97" s="45" t="s">
        <v>7</v>
      </c>
      <c r="D97" s="45" t="s">
        <v>13</v>
      </c>
    </row>
    <row r="98" spans="1:4" ht="40.5" x14ac:dyDescent="0.25">
      <c r="A98" s="90" t="s">
        <v>49</v>
      </c>
      <c r="B98" s="4">
        <v>9</v>
      </c>
      <c r="C98" s="88" t="s">
        <v>38</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9</v>
      </c>
      <c r="C113" s="86" t="s">
        <v>27</v>
      </c>
      <c r="D113" s="48"/>
    </row>
    <row r="114" spans="1:4" ht="15" thickBot="1" x14ac:dyDescent="0.35">
      <c r="A114" s="49"/>
      <c r="B114" s="49"/>
      <c r="C114" s="49"/>
      <c r="D114" s="49"/>
    </row>
    <row r="115" spans="1:4" ht="18.75" thickBot="1" x14ac:dyDescent="0.3">
      <c r="A115" s="42" t="s">
        <v>14</v>
      </c>
      <c r="B115" s="43">
        <v>7</v>
      </c>
      <c r="C115" s="44" t="s">
        <v>23</v>
      </c>
      <c r="D115" s="53">
        <f>$D$96+7</f>
        <v>45412</v>
      </c>
    </row>
    <row r="116" spans="1:4" ht="27.75" thickBot="1" x14ac:dyDescent="0.3">
      <c r="A116" s="45" t="s">
        <v>3</v>
      </c>
      <c r="B116" s="46" t="s">
        <v>15</v>
      </c>
      <c r="C116" s="45" t="s">
        <v>7</v>
      </c>
      <c r="D116" s="45" t="s">
        <v>13</v>
      </c>
    </row>
    <row r="117" spans="1:4" ht="67.5" x14ac:dyDescent="0.25">
      <c r="A117" s="5" t="s">
        <v>35</v>
      </c>
      <c r="B117" s="4">
        <v>6</v>
      </c>
      <c r="C117" s="88" t="s">
        <v>39</v>
      </c>
      <c r="D117" s="92"/>
    </row>
    <row r="118" spans="1:4" ht="27" x14ac:dyDescent="0.25">
      <c r="A118" s="91" t="s">
        <v>41</v>
      </c>
      <c r="B118" s="2">
        <v>3</v>
      </c>
      <c r="C118" s="89" t="s">
        <v>42</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9</v>
      </c>
      <c r="C132" s="86" t="s">
        <v>27</v>
      </c>
      <c r="D132" s="48"/>
    </row>
    <row r="133" spans="1:4" ht="15" thickBot="1" x14ac:dyDescent="0.35">
      <c r="A133" s="49"/>
      <c r="B133" s="49"/>
      <c r="C133" s="49"/>
      <c r="D133" s="49"/>
    </row>
    <row r="134" spans="1:4" ht="18.75" thickBot="1" x14ac:dyDescent="0.3">
      <c r="A134" s="42" t="s">
        <v>14</v>
      </c>
      <c r="B134" s="43">
        <v>8</v>
      </c>
      <c r="C134" s="44" t="s">
        <v>23</v>
      </c>
      <c r="D134" s="53">
        <f>$D$115+7</f>
        <v>45419</v>
      </c>
    </row>
    <row r="135" spans="1:4" ht="27.75" thickBot="1" x14ac:dyDescent="0.3">
      <c r="A135" s="45" t="s">
        <v>3</v>
      </c>
      <c r="B135" s="46" t="s">
        <v>15</v>
      </c>
      <c r="C135" s="45" t="s">
        <v>7</v>
      </c>
      <c r="D135" s="45" t="s">
        <v>13</v>
      </c>
    </row>
    <row r="136" spans="1:4" ht="14.25" thickBot="1" x14ac:dyDescent="0.3">
      <c r="A136" s="5" t="s">
        <v>21</v>
      </c>
      <c r="B136" s="4">
        <v>9</v>
      </c>
      <c r="C136" s="92" t="s">
        <v>43</v>
      </c>
      <c r="D136" s="9"/>
    </row>
    <row r="137" spans="1:4" x14ac:dyDescent="0.25">
      <c r="A137" s="90"/>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9</v>
      </c>
      <c r="C151" s="86" t="s">
        <v>27</v>
      </c>
      <c r="D151" s="48"/>
    </row>
    <row r="152" spans="1:4" ht="15" thickBot="1" x14ac:dyDescent="0.35">
      <c r="A152" s="49"/>
      <c r="B152" s="49"/>
      <c r="C152" s="49"/>
      <c r="D152" s="49"/>
    </row>
    <row r="153" spans="1:4" ht="18.75" thickBot="1" x14ac:dyDescent="0.3">
      <c r="A153" s="42" t="s">
        <v>14</v>
      </c>
      <c r="B153" s="43">
        <v>9</v>
      </c>
      <c r="C153" s="44" t="s">
        <v>23</v>
      </c>
      <c r="D153" s="53">
        <f>$D$134+7</f>
        <v>45426</v>
      </c>
    </row>
    <row r="154" spans="1:4" ht="27.75" thickBot="1" x14ac:dyDescent="0.3">
      <c r="A154" s="45" t="s">
        <v>3</v>
      </c>
      <c r="B154" s="46" t="s">
        <v>15</v>
      </c>
      <c r="C154" s="45" t="s">
        <v>7</v>
      </c>
      <c r="D154" s="45" t="s">
        <v>13</v>
      </c>
    </row>
    <row r="155" spans="1:4" ht="40.5" x14ac:dyDescent="0.25">
      <c r="A155" s="90" t="s">
        <v>44</v>
      </c>
      <c r="B155" s="4">
        <v>3</v>
      </c>
      <c r="C155" s="92" t="s">
        <v>45</v>
      </c>
      <c r="D155" s="9"/>
    </row>
    <row r="156" spans="1:4" ht="81" x14ac:dyDescent="0.25">
      <c r="A156" s="91" t="s">
        <v>47</v>
      </c>
      <c r="B156" s="2">
        <v>6</v>
      </c>
      <c r="C156" s="93" t="s">
        <v>46</v>
      </c>
      <c r="D156" s="94" t="s">
        <v>50</v>
      </c>
    </row>
    <row r="157" spans="1:4" ht="27" x14ac:dyDescent="0.25">
      <c r="A157" s="91" t="s">
        <v>44</v>
      </c>
      <c r="B157" s="2">
        <v>1</v>
      </c>
      <c r="C157" s="93" t="s">
        <v>48</v>
      </c>
      <c r="D157" s="10"/>
    </row>
    <row r="158" spans="1:4" ht="40.5" x14ac:dyDescent="0.25">
      <c r="A158" s="1" t="s">
        <v>32</v>
      </c>
      <c r="B158" s="2">
        <v>4</v>
      </c>
      <c r="C158" s="93" t="s">
        <v>51</v>
      </c>
      <c r="D158" s="10"/>
    </row>
    <row r="159" spans="1:4" ht="40.5" x14ac:dyDescent="0.25">
      <c r="A159" s="1" t="s">
        <v>44</v>
      </c>
      <c r="B159" s="2">
        <v>2</v>
      </c>
      <c r="C159" s="93" t="s">
        <v>52</v>
      </c>
      <c r="D159" s="10"/>
    </row>
    <row r="160" spans="1:4" ht="94.5" x14ac:dyDescent="0.25">
      <c r="A160" s="1" t="s">
        <v>32</v>
      </c>
      <c r="B160" s="2">
        <v>6</v>
      </c>
      <c r="C160" s="95" t="s">
        <v>53</v>
      </c>
      <c r="D160" s="10"/>
    </row>
    <row r="161" spans="1:4" ht="40.5" x14ac:dyDescent="0.25">
      <c r="A161" s="1" t="s">
        <v>44</v>
      </c>
      <c r="B161" s="2">
        <v>2</v>
      </c>
      <c r="C161" s="93" t="s">
        <v>54</v>
      </c>
      <c r="D161" s="10"/>
    </row>
    <row r="162" spans="1:4" ht="27" x14ac:dyDescent="0.25">
      <c r="A162" s="91" t="s">
        <v>55</v>
      </c>
      <c r="B162" s="2">
        <v>1</v>
      </c>
      <c r="C162" s="93" t="s">
        <v>56</v>
      </c>
      <c r="D162" s="10"/>
    </row>
    <row r="163" spans="1:4" x14ac:dyDescent="0.25">
      <c r="A163" s="1" t="s">
        <v>32</v>
      </c>
      <c r="B163" s="2">
        <v>1</v>
      </c>
      <c r="C163" s="93" t="s">
        <v>57</v>
      </c>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4.25" thickBot="1" x14ac:dyDescent="0.3">
      <c r="A169" s="3"/>
      <c r="B169" s="3"/>
      <c r="C169" s="11"/>
      <c r="D169" s="11"/>
    </row>
    <row r="170" spans="1:4" ht="14.25" thickBot="1" x14ac:dyDescent="0.3">
      <c r="A170" s="47" t="s">
        <v>22</v>
      </c>
      <c r="B170" s="47">
        <f>SUM(B155:B169)</f>
        <v>26</v>
      </c>
      <c r="C170" s="86" t="s">
        <v>27</v>
      </c>
      <c r="D170" s="48"/>
    </row>
    <row r="171" spans="1:4" ht="14.25" x14ac:dyDescent="0.3">
      <c r="A171" s="49"/>
      <c r="B171" s="49"/>
      <c r="C171" s="49"/>
      <c r="D171" s="49"/>
    </row>
    <row r="172" spans="1:4" x14ac:dyDescent="0.25">
      <c r="A172"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83AC73CB-5048-4E9E-80F0-424ED56E6DB2}">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xr:uid="{8B005AC8-6075-447E-9C5E-2935FC014ED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AD71BCC7-7A4E-4F61-B316-BAEC506A6A30}">
      <formula1>0</formula1>
      <formula2>NbPerWeek * NbQuartPer</formula2>
    </dataValidation>
    <dataValidation type="list" allowBlank="1" showInputMessage="1" showErrorMessage="1" sqref="A3:A17 A22:A36 A41:A55 A60:A74 A79:A93 A98:A112 A117:A131 A155:A169 A136:A150" xr:uid="{A996C1ED-2ECD-4AD2-9DD2-8FCBF499E5DA}">
      <formula1>lstTasks</formula1>
    </dataValidation>
  </dataValidations>
  <hyperlinks>
    <hyperlink ref="D156" r:id="rId1" location=":~:text=Le%20chiffre%20de%20Vigen%C3%A8re%20est,de%20C%C3%A9sar%20(qu'il%20utilise" xr:uid="{3057BF4D-B9D8-4802-866B-715FF28C15F5}"/>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Yago Iglesias</dc:creator>
  <cp:lastModifiedBy>Yago Iglesias</cp:lastModifiedBy>
  <cp:lastPrinted>2013-08-29T11:33:15Z</cp:lastPrinted>
  <dcterms:created xsi:type="dcterms:W3CDTF">1996-10-21T11:03:58Z</dcterms:created>
  <dcterms:modified xsi:type="dcterms:W3CDTF">2024-05-21T11:59:11Z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