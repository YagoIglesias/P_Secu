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531" codeName="{3D1A710C-6663-3D7B-7F91-EC182F24A4BC}"/>
  <workbookPr updateLinks="never" codeName="ThisWorkbook"/>
  <mc:AlternateContent xmlns:mc="http://schemas.openxmlformats.org/markup-compatibility/2006">
    <mc:Choice Requires="x15">
      <x15ac:absPath xmlns:x15ac="http://schemas.microsoft.com/office/spreadsheetml/2010/11/ac" url="C:\Users\De La Rua\Desktop\P_Sec_modifs\"/>
    </mc:Choice>
  </mc:AlternateContent>
  <xr:revisionPtr revIDLastSave="0" documentId="13_ncr:1_{4F9CE579-1057-4095-B97B-BA36E17511DF}" xr6:coauthVersionLast="47" xr6:coauthVersionMax="47" xr10:uidLastSave="{00000000-0000-0000-0000-000000000000}"/>
  <bookViews>
    <workbookView xWindow="-108" yWindow="-108" windowWidth="23256" windowHeight="12576"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155" l="1"/>
  <c r="D20" i="155" s="1"/>
  <c r="D39" i="155" s="1"/>
  <c r="D58" i="155" s="1"/>
  <c r="D77" i="155" s="1"/>
  <c r="D96" i="155" s="1"/>
  <c r="D115" i="155" s="1"/>
  <c r="D134" i="155" s="1"/>
  <c r="D153" i="155" s="1"/>
  <c r="B170" i="155"/>
  <c r="B151" i="155"/>
  <c r="B132" i="155"/>
  <c r="B113" i="155"/>
  <c r="B94" i="155"/>
  <c r="B75" i="155"/>
  <c r="B56" i="155"/>
  <c r="B37" i="155"/>
  <c r="B18" i="155"/>
  <c r="B18" i="154"/>
  <c r="B13" i="11" l="1"/>
</calcChain>
</file>

<file path=xl/sharedStrings.xml><?xml version="1.0" encoding="utf-8"?>
<sst xmlns="http://schemas.openxmlformats.org/spreadsheetml/2006/main" count="158" uniqueCount="62">
  <si>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</si>
  <si>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</si>
  <si>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</si>
  <si>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</si>
  <si>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</si>
  <si>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</si>
  <si>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</si>
  <si>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</si>
  <si>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</si>
  <si>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</si>
  <si>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</si>
  <si>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</si>
  <si>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</si>
  <si>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</si>
  <si>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</si>
  <si>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</si>
  <si>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</si>
  <si>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</si>
  <si>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</si>
  <si>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</si>
  <si>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</si>
  <si>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</si>
  <si>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</si>
  <si>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</si>
  <si>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Yago Iglesias Rodriguez</t>
  </si>
  <si>
    <t>FIN1</t>
  </si>
  <si>
    <t>ETML - Vennes</t>
  </si>
  <si>
    <t>Max. 9</t>
  </si>
  <si>
    <t>STOP</t>
  </si>
  <si>
    <t>Prise en main du CDC</t>
  </si>
  <si>
    <t>Lecture dus cahier des charges et discuter en classe avec le client afin d'avoir toutes les informations</t>
  </si>
  <si>
    <t>P_Secu 114</t>
  </si>
  <si>
    <t xml:space="preserve">Classe menu </t>
  </si>
  <si>
    <t>Création d'une classe menu et debut de la création d'un cfichier pour les PS</t>
  </si>
  <si>
    <t xml:space="preserve">essayer de ajouter des mots de passe et les afficher </t>
  </si>
  <si>
    <t>Chiffrer le mot de passe</t>
  </si>
  <si>
    <t>Recherche sur internet pour comprendre la logique et ensuite creation d'une méthode ou on transforme la chaine de char en char individuel et ensuite ils sont stockes dans un tableau. Apres il faut stocker la valeur numerique du char et le stocker dans un tableau de int avec le decalage de notre choix.</t>
  </si>
  <si>
    <t xml:space="preserve">Conecter la classe ps dans le menu pour attaindre le ps a chiffrer </t>
  </si>
  <si>
    <t>Ecreation du menu et essayer d'afficher les informations de l'application qu'on veut ajouter et lire les infos, mais il y a un problème pour le moment seulment la création d'un fichier vide fonctione</t>
  </si>
  <si>
    <t>Dans la classe LogFile la méthode chiffrer() nous permet de retourner le mot de passe qu'on stock dans la classe Applications() affin de pouvoir apres l'écrir dans un fichier, test effectuer et ca marche, un fichier avec le nom de l'app est créé et contient les informations chifrres. Les fichiers sont stockes sur un dossier password qui se trouve dans le repertoire de l'executable.</t>
  </si>
  <si>
    <t>Chiffrer le mot de passe et login</t>
  </si>
  <si>
    <t xml:space="preserve">Lire les informations decriptes </t>
  </si>
  <si>
    <t xml:space="preserve">Essayer de dechiffrer et afficher </t>
  </si>
  <si>
    <t>Test du module 114</t>
  </si>
  <si>
    <t>Classe KeyPasse</t>
  </si>
  <si>
    <t>Classe pour créér la clé de l'utilisateur, elle est stocker dans un fichier chiffrer avec la méthode césar pour le moment, ceci permet de demander 1 fois a l'utilisateur a moin qu'il efface le ficchier car il n'est pas encore possible de changer la clé.</t>
  </si>
  <si>
    <t>Méthode CryptageVigenere() pour cripter le mot de passe selon le chiffrement vigenere il fallais faire des recherches, mais une fois le fonctionnement était compris c'était bon, j'ai remplacer le mot de passe par la clé et ensuite additioner le mot de passe original puis la cle qu'il le remplacer modulo 256, pour decripter c'est le même principe il faut just faire une sustraction.Ceci marche uniquement pour les fichier criptes par la méthode vigènere mais pas césar.</t>
  </si>
  <si>
    <t>Chiffrementvigènere</t>
  </si>
  <si>
    <t>Creation de la méthode pour chiffrerer et dechiffrer la clé par elle-même ceci suit le même principe que la méthode effectuer precedament mais il faut additionner la cle deux fois</t>
  </si>
  <si>
    <t>Classe LogFile</t>
  </si>
  <si>
    <t>https://fr.wikipedia.org/wiki/Chiffre_de_Vigen%C3%A8re#:~:text=Le%20chiffre%20de%20Vigen%C3%A8re%20est,de%20C%C3%A9sar%20(qu'il%20utilise</t>
  </si>
  <si>
    <t>ModifyPasseword() est la méthode qui permet de modifier l'url, login et passeword d'un fichier existant, c'est presque la même chose que pour créer un fichier mais il faut ecrir dans le même fichier</t>
  </si>
  <si>
    <t>19.05.2024 : Méthode CheckOrGenerateKey() pour decrypter la clé si elle existe dans le fichier, si non le fichier est créer, la clé est controler au debut du programme, si la clé est fausse alors le programme s'arrete</t>
  </si>
  <si>
    <t>19.05.2024 : Méthode ChangeKey cette méthode permet de changer la clé donc elle va dechiffrer les fichier encryptes avec l'ancienne clé afin de recuperer les informations et ensuite pouvoir les chiffrer à nouveau afin de pouvoir les lire avec la nouvelle clé choisi. Pour ceci il fallais créér deux méthodes suplementaires dans la clssse LogFile : DecryptFileIfKeyChange() et EncryptFileIfKeyChange() car la méthode ReadFile qui retourne le tableau d'informations ne me permete pas de recuperer toutes les infos seulment le mot de passe donc j'ai opter pour concatener les infos et les retournes dans un string fullInfo.</t>
  </si>
  <si>
    <t>20.05.2024 : Méthode HideInput() qui permet de masquer la saisie du mot de passe que l'utilisateur va rentrer ceci n'etais pas compliquer sauf pour effacer le caracter, j'ai du demander au copilote bing qui m'as dit qu'il fallais utiliser "\b \b"</t>
  </si>
  <si>
    <t>Debug</t>
  </si>
  <si>
    <t>21.05.2024: Si on selectione la clé le programme s'arrete au dechiffrement du login ceci est régler avec l'addition de 256 à la clé</t>
  </si>
  <si>
    <t>21.05.2024 : Méthode DeletePasseword() qui permet de supprime run fichier</t>
  </si>
  <si>
    <t>21.05.2024 : Regrouper les deux fonctionalites dans une méthode qui prends un booléan en paramètre afin de choisir la fonctionalite, j'ai realiser une pour le mot d epasse, login et la clé de l'utilisateur. Les voici : EncryptionPassewordVigenere(bool isCrypted), EncryptionLoginVigenere(bool isCrypted) et EncryptionKeyVigenere(bool isCrypted).</t>
  </si>
  <si>
    <t>Creation de depot git sur gitHub</t>
  </si>
  <si>
    <t>21.05.2024 : Deposer le projet finis avec le journal de travail, afin de pouvoir améliorer le programme et garder un backup.</t>
  </si>
  <si>
    <t>21.05.2024: suppresion des méthodes pour decripter et encrypter les fichier car elle sont regroupes dans une méthode qui est : EncryptOrDecryptFileInfo(string fileName,bool isToEncrypt), en paramettre nous avons le nom du fichier à lire et un booléan qui determine si il faut chiffrer ou dechiffrer les informations.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</si>
</sst>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00">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12" borderId="13" xfId="0" applyFont="1" applyFill="1" applyBorder="1" applyAlignment="1">
      <alignment horizontal="left" vertical="top" wrapText="1"/>
    </xf>
    <xf numFmtId="0" fontId="16" fillId="9" borderId="0" xfId="0" applyFont="1" applyFill="1"/>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1" fillId="0" borderId="2" xfId="1" applyBorder="1" applyAlignment="1" applyProtection="1">
      <alignment horizontal="left" vertical="top" wrapText="1"/>
      <protection locked="0"/>
    </xf>
    <xf numFmtId="14" fontId="0" fillId="0" borderId="2" xfId="0" applyNumberFormat="1" applyBorder="1" applyAlignment="1" applyProtection="1">
      <alignment horizontal="left" vertical="top" wrapText="1"/>
      <protection locked="0"/>
    </xf>
    <xf numFmtId="0" fontId="0" fillId="0" borderId="2" xfId="0" applyBorder="1" applyAlignment="1" applyProtection="1">
      <alignment horizontal="center" vertical="center" wrapText="1"/>
      <protection locked="0"/>
    </xf>
    <xf numFmtId="0" fontId="0" fillId="0" borderId="33" xfId="0"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7620</xdr:colOff>
          <xdr:row>1</xdr:row>
          <xdr:rowOff>160020</xdr:rowOff>
        </xdr:from>
        <xdr:to>
          <xdr:col>6</xdr:col>
          <xdr:colOff>30480</xdr:colOff>
          <xdr:row>3</xdr:row>
          <xdr:rowOff>198120</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xdr:row>
          <xdr:rowOff>7620</xdr:rowOff>
        </xdr:from>
        <xdr:to>
          <xdr:col>6</xdr:col>
          <xdr:colOff>53340</xdr:colOff>
          <xdr:row>7</xdr:row>
          <xdr:rowOff>45720</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xdr:row>
          <xdr:rowOff>190500</xdr:rowOff>
        </xdr:from>
        <xdr:to>
          <xdr:col>6</xdr:col>
          <xdr:colOff>68580</xdr:colOff>
          <xdr:row>10</xdr:row>
          <xdr:rowOff>137160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594360</xdr:colOff>
          <xdr:row>0</xdr:row>
          <xdr:rowOff>182880</xdr:rowOff>
        </xdr:from>
        <xdr:to>
          <xdr:col>7</xdr:col>
          <xdr:colOff>190500</xdr:colOff>
          <xdr:row>3</xdr:row>
          <xdr:rowOff>53340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594360</xdr:colOff>
          <xdr:row>0</xdr:row>
          <xdr:rowOff>182880</xdr:rowOff>
        </xdr:from>
        <xdr:to>
          <xdr:col>7</xdr:col>
          <xdr:colOff>190500</xdr:colOff>
          <xdr:row>3</xdr:row>
          <xdr:rowOff>53340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594360</xdr:colOff>
          <xdr:row>0</xdr:row>
          <xdr:rowOff>182880</xdr:rowOff>
        </xdr:from>
        <xdr:to>
          <xdr:col>7</xdr:col>
          <xdr:colOff>190500</xdr:colOff>
          <xdr:row>2</xdr:row>
          <xdr:rowOff>220980</xdr:rowOff>
        </xdr:to>
        <xdr:sp macro="" textlink="">
          <xdr:nvSpPr>
            <xdr:cNvPr id="39937" name="btnImportRealisation"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fr.wikipedia.org/wiki/Chiffre_de_Vigen%C3%A8re" TargetMode="External"/><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13" zoomScaleNormal="100" zoomScaleSheetLayoutView="100" workbookViewId="0">
      <selection activeCell="C27" sqref="C27"/>
    </sheetView>
  </sheetViews>
  <sheetFormatPr baseColWidth="10" defaultColWidth="11.5546875" defaultRowHeight="13.2" x14ac:dyDescent="0.25"/>
  <cols>
    <col min="1" max="1" width="16.5546875" style="57" customWidth="1"/>
    <col min="2" max="2" width="55.109375" style="57" customWidth="1"/>
    <col min="3" max="3" width="88.5546875" style="57" customWidth="1"/>
    <col min="4" max="4" width="3.44140625" style="57" customWidth="1"/>
    <col min="5" max="6" width="11.5546875" style="57"/>
    <col min="7" max="7" width="3.33203125" style="57" customWidth="1"/>
    <col min="8" max="16384" width="11.5546875" style="57"/>
  </cols>
  <sheetData>
    <row r="1" spans="1:7" x14ac:dyDescent="0.25">
      <c r="A1" s="54"/>
      <c r="B1" s="55"/>
      <c r="C1" s="55"/>
      <c r="D1" s="55"/>
      <c r="E1" s="55"/>
      <c r="F1" s="55"/>
      <c r="G1" s="56"/>
    </row>
    <row r="2" spans="1:7" ht="13.8" thickBot="1" x14ac:dyDescent="0.3">
      <c r="A2" s="58"/>
      <c r="B2" s="59"/>
      <c r="C2" s="59"/>
      <c r="D2" s="59"/>
      <c r="E2" s="59"/>
      <c r="F2" s="59"/>
      <c r="G2" s="60"/>
    </row>
    <row r="3" spans="1:7" ht="21" x14ac:dyDescent="0.25">
      <c r="A3" s="58"/>
      <c r="B3" s="61" t="s">
        <v>0</v>
      </c>
      <c r="C3" s="62" t="s">
        <v>31</v>
      </c>
      <c r="D3" s="59"/>
      <c r="E3" s="59"/>
      <c r="F3" s="59"/>
      <c r="G3" s="60"/>
    </row>
    <row r="4" spans="1:7" ht="21" x14ac:dyDescent="0.25">
      <c r="A4" s="58"/>
      <c r="B4" s="63" t="s">
        <v>4</v>
      </c>
      <c r="C4" s="64" t="s">
        <v>24</v>
      </c>
      <c r="D4" s="59"/>
      <c r="E4" s="59"/>
      <c r="F4" s="59"/>
      <c r="G4" s="60"/>
    </row>
    <row r="5" spans="1:7" ht="21" x14ac:dyDescent="0.25">
      <c r="A5" s="58"/>
      <c r="B5" s="63" t="s">
        <v>1</v>
      </c>
      <c r="C5" s="64" t="s">
        <v>25</v>
      </c>
      <c r="D5" s="59"/>
      <c r="E5" s="59"/>
      <c r="F5" s="59"/>
      <c r="G5" s="60"/>
    </row>
    <row r="6" spans="1:7" ht="21.6" thickBot="1" x14ac:dyDescent="0.3">
      <c r="A6" s="58"/>
      <c r="B6" s="65" t="s">
        <v>2</v>
      </c>
      <c r="C6" s="66" t="s">
        <v>26</v>
      </c>
      <c r="D6" s="59"/>
      <c r="E6" s="59"/>
      <c r="F6" s="59"/>
      <c r="G6" s="60"/>
    </row>
    <row r="7" spans="1:7" x14ac:dyDescent="0.25">
      <c r="A7" s="58"/>
      <c r="B7" s="59"/>
      <c r="C7" s="59"/>
      <c r="D7" s="59"/>
      <c r="E7" s="59"/>
      <c r="F7" s="59"/>
      <c r="G7" s="60"/>
    </row>
    <row r="8" spans="1:7" ht="13.8" thickBot="1" x14ac:dyDescent="0.3">
      <c r="A8" s="58"/>
      <c r="B8" s="59"/>
      <c r="C8" s="59"/>
      <c r="D8" s="59"/>
      <c r="E8" s="59"/>
      <c r="F8" s="59"/>
      <c r="G8" s="60"/>
    </row>
    <row r="9" spans="1:7" ht="21" x14ac:dyDescent="0.25">
      <c r="A9" s="58"/>
      <c r="B9" s="61" t="s">
        <v>9</v>
      </c>
      <c r="C9" s="67">
        <v>45370</v>
      </c>
      <c r="D9" s="59"/>
      <c r="E9" s="59"/>
      <c r="F9" s="59"/>
      <c r="G9" s="60"/>
    </row>
    <row r="10" spans="1:7" ht="21" x14ac:dyDescent="0.25">
      <c r="A10" s="58"/>
      <c r="B10" s="68" t="s">
        <v>8</v>
      </c>
      <c r="C10" s="69">
        <v>45440</v>
      </c>
      <c r="D10" s="59"/>
      <c r="E10" s="59"/>
      <c r="F10" s="59"/>
      <c r="G10" s="60"/>
    </row>
    <row r="11" spans="1:7" ht="21" x14ac:dyDescent="0.25">
      <c r="A11" s="58"/>
      <c r="B11" s="68" t="s">
        <v>10</v>
      </c>
      <c r="C11" s="70">
        <v>9</v>
      </c>
      <c r="D11" s="59"/>
      <c r="E11" s="59"/>
      <c r="F11" s="59"/>
      <c r="G11" s="60"/>
    </row>
    <row r="12" spans="1:7" ht="21" x14ac:dyDescent="0.25">
      <c r="A12" s="58"/>
      <c r="B12" s="63" t="s">
        <v>11</v>
      </c>
      <c r="C12" s="71">
        <v>3</v>
      </c>
      <c r="D12" s="59"/>
      <c r="E12" s="59"/>
      <c r="F12" s="59"/>
      <c r="G12" s="60"/>
    </row>
    <row r="13" spans="1:7" ht="21" x14ac:dyDescent="0.25">
      <c r="A13" s="58"/>
      <c r="B13" s="63" t="s">
        <v>12</v>
      </c>
      <c r="C13" s="71">
        <v>3</v>
      </c>
      <c r="D13" s="59"/>
      <c r="E13" s="59"/>
      <c r="F13" s="59"/>
      <c r="G13" s="60"/>
    </row>
    <row r="14" spans="1:7" ht="21.6" thickBot="1" x14ac:dyDescent="0.3">
      <c r="A14" s="58"/>
      <c r="B14" s="72"/>
      <c r="C14" s="73" t="s">
        <v>6</v>
      </c>
      <c r="D14" s="59"/>
      <c r="E14" s="59"/>
      <c r="F14" s="59"/>
      <c r="G14" s="60"/>
    </row>
    <row r="15" spans="1:7" x14ac:dyDescent="0.25">
      <c r="A15" s="58"/>
      <c r="B15" s="59"/>
      <c r="C15" s="59"/>
      <c r="D15" s="59"/>
      <c r="E15" s="59"/>
      <c r="F15" s="59"/>
      <c r="G15" s="60"/>
    </row>
    <row r="16" spans="1:7" ht="13.8" thickBot="1" x14ac:dyDescent="0.3">
      <c r="A16" s="74"/>
      <c r="B16" s="75"/>
      <c r="C16" s="75"/>
      <c r="D16" s="75"/>
      <c r="E16" s="75"/>
      <c r="F16" s="75"/>
      <c r="G16" s="76"/>
    </row>
    <row r="17" spans="1:7" x14ac:dyDescent="0.25">
      <c r="A17" s="77"/>
      <c r="B17" s="55"/>
      <c r="C17" s="55"/>
      <c r="D17" s="55"/>
      <c r="E17" s="55"/>
      <c r="F17" s="55"/>
      <c r="G17" s="56"/>
    </row>
    <row r="18" spans="1:7" ht="13.8" thickBot="1" x14ac:dyDescent="0.3">
      <c r="A18" s="78"/>
      <c r="B18" s="59"/>
      <c r="C18" s="59"/>
      <c r="D18" s="59"/>
      <c r="E18" s="59"/>
      <c r="F18" s="59"/>
      <c r="G18" s="60"/>
    </row>
    <row r="19" spans="1:7" ht="21" thickBot="1" x14ac:dyDescent="0.3">
      <c r="A19" s="78"/>
      <c r="B19" s="96" t="s">
        <v>19</v>
      </c>
      <c r="C19" s="97"/>
      <c r="D19" s="59"/>
      <c r="E19" s="59"/>
      <c r="F19" s="59"/>
      <c r="G19" s="60"/>
    </row>
    <row r="20" spans="1:7" ht="21" x14ac:dyDescent="0.25">
      <c r="A20" s="78"/>
      <c r="B20" s="79" t="s">
        <v>20</v>
      </c>
      <c r="C20" s="80" t="s">
        <v>21</v>
      </c>
      <c r="D20" s="59"/>
      <c r="E20" s="59"/>
      <c r="F20" s="59"/>
      <c r="G20" s="60"/>
    </row>
    <row r="21" spans="1:7" ht="21" x14ac:dyDescent="0.25">
      <c r="A21" s="78"/>
      <c r="B21" s="79">
        <v>1</v>
      </c>
      <c r="C21" s="69" t="s">
        <v>29</v>
      </c>
      <c r="D21" s="59"/>
      <c r="E21" s="59"/>
      <c r="F21" s="59"/>
      <c r="G21" s="60"/>
    </row>
    <row r="22" spans="1:7" ht="21" x14ac:dyDescent="0.25">
      <c r="A22" s="78"/>
      <c r="B22" s="79">
        <v>2</v>
      </c>
      <c r="C22" s="70" t="s">
        <v>32</v>
      </c>
      <c r="D22" s="59"/>
      <c r="E22" s="59"/>
      <c r="F22" s="59"/>
      <c r="G22" s="60"/>
    </row>
    <row r="23" spans="1:7" ht="21" x14ac:dyDescent="0.25">
      <c r="A23" s="78"/>
      <c r="B23" s="81">
        <v>3</v>
      </c>
      <c r="C23" s="70" t="s">
        <v>40</v>
      </c>
      <c r="D23" s="59"/>
      <c r="E23" s="59"/>
      <c r="F23" s="59"/>
      <c r="G23" s="60"/>
    </row>
    <row r="24" spans="1:7" ht="21" x14ac:dyDescent="0.25">
      <c r="A24" s="78"/>
      <c r="B24" s="79">
        <v>4</v>
      </c>
      <c r="C24" s="70" t="s">
        <v>41</v>
      </c>
      <c r="D24" s="59"/>
      <c r="E24" s="59"/>
      <c r="F24" s="59"/>
      <c r="G24" s="60"/>
    </row>
    <row r="25" spans="1:7" ht="21" x14ac:dyDescent="0.25">
      <c r="A25" s="78"/>
      <c r="B25" s="79">
        <v>5</v>
      </c>
      <c r="C25" s="70" t="s">
        <v>44</v>
      </c>
      <c r="D25" s="59"/>
      <c r="E25" s="59"/>
      <c r="F25" s="59"/>
      <c r="G25" s="60"/>
    </row>
    <row r="26" spans="1:7" ht="21" x14ac:dyDescent="0.25">
      <c r="A26" s="78"/>
      <c r="B26" s="81">
        <v>6</v>
      </c>
      <c r="C26" s="70" t="s">
        <v>47</v>
      </c>
      <c r="D26" s="59"/>
      <c r="E26" s="59"/>
      <c r="F26" s="59"/>
      <c r="G26" s="60"/>
    </row>
    <row r="27" spans="1:7" ht="21" x14ac:dyDescent="0.25">
      <c r="A27" s="78"/>
      <c r="B27" s="79">
        <v>7</v>
      </c>
      <c r="C27" s="70" t="s">
        <v>49</v>
      </c>
      <c r="D27" s="59"/>
      <c r="E27" s="59"/>
      <c r="F27" s="59"/>
      <c r="G27" s="60"/>
    </row>
    <row r="28" spans="1:7" ht="21" x14ac:dyDescent="0.25">
      <c r="A28" s="78"/>
      <c r="B28" s="79">
        <v>8</v>
      </c>
      <c r="C28" s="71"/>
      <c r="D28" s="59"/>
      <c r="E28" s="59"/>
      <c r="F28" s="59"/>
      <c r="G28" s="60"/>
    </row>
    <row r="29" spans="1:7" ht="21" x14ac:dyDescent="0.25">
      <c r="A29" s="78"/>
      <c r="B29" s="81">
        <v>9</v>
      </c>
      <c r="C29" s="71"/>
      <c r="D29" s="59"/>
      <c r="E29" s="59"/>
      <c r="F29" s="59"/>
      <c r="G29" s="60"/>
    </row>
    <row r="30" spans="1:7" ht="21" x14ac:dyDescent="0.25">
      <c r="A30" s="78"/>
      <c r="B30" s="79">
        <v>10</v>
      </c>
      <c r="C30" s="70"/>
      <c r="D30" s="59"/>
      <c r="E30" s="59"/>
      <c r="F30" s="59"/>
      <c r="G30" s="60"/>
    </row>
    <row r="31" spans="1:7" ht="21" x14ac:dyDescent="0.25">
      <c r="A31" s="78"/>
      <c r="B31" s="79">
        <v>11</v>
      </c>
      <c r="C31" s="70"/>
      <c r="D31" s="59"/>
      <c r="E31" s="59"/>
      <c r="F31" s="59"/>
      <c r="G31" s="60"/>
    </row>
    <row r="32" spans="1:7" ht="21" x14ac:dyDescent="0.25">
      <c r="A32" s="78"/>
      <c r="B32" s="81">
        <v>12</v>
      </c>
      <c r="C32" s="70"/>
      <c r="D32" s="59"/>
      <c r="E32" s="59"/>
      <c r="F32" s="59"/>
      <c r="G32" s="60"/>
    </row>
    <row r="33" spans="1:7" ht="21" x14ac:dyDescent="0.25">
      <c r="A33" s="78"/>
      <c r="B33" s="79">
        <v>13</v>
      </c>
      <c r="C33" s="70"/>
      <c r="D33" s="59"/>
      <c r="E33" s="59"/>
      <c r="F33" s="59"/>
      <c r="G33" s="60"/>
    </row>
    <row r="34" spans="1:7" ht="21" x14ac:dyDescent="0.25">
      <c r="A34" s="78"/>
      <c r="B34" s="79">
        <v>14</v>
      </c>
      <c r="C34" s="71"/>
      <c r="D34" s="59"/>
      <c r="E34" s="59"/>
      <c r="F34" s="59"/>
      <c r="G34" s="60"/>
    </row>
    <row r="35" spans="1:7" ht="21" x14ac:dyDescent="0.25">
      <c r="A35" s="78"/>
      <c r="B35" s="81">
        <v>15</v>
      </c>
      <c r="C35" s="71"/>
      <c r="D35" s="59"/>
      <c r="E35" s="59"/>
      <c r="F35" s="59"/>
      <c r="G35" s="60"/>
    </row>
    <row r="36" spans="1:7" ht="21" x14ac:dyDescent="0.25">
      <c r="A36" s="78"/>
      <c r="B36" s="79">
        <v>16</v>
      </c>
      <c r="C36" s="70"/>
      <c r="D36" s="59"/>
      <c r="E36" s="59"/>
      <c r="F36" s="59"/>
      <c r="G36" s="60"/>
    </row>
    <row r="37" spans="1:7" ht="21" x14ac:dyDescent="0.25">
      <c r="A37" s="78"/>
      <c r="B37" s="79">
        <v>17</v>
      </c>
      <c r="C37" s="70"/>
      <c r="D37" s="59"/>
      <c r="E37" s="59"/>
      <c r="F37" s="59"/>
      <c r="G37" s="60"/>
    </row>
    <row r="38" spans="1:7" ht="21" x14ac:dyDescent="0.25">
      <c r="A38" s="78"/>
      <c r="B38" s="81">
        <v>18</v>
      </c>
      <c r="C38" s="70"/>
      <c r="D38" s="59"/>
      <c r="E38" s="59"/>
      <c r="F38" s="59"/>
      <c r="G38" s="60"/>
    </row>
    <row r="39" spans="1:7" ht="21" x14ac:dyDescent="0.25">
      <c r="A39" s="78"/>
      <c r="B39" s="79">
        <v>19</v>
      </c>
      <c r="C39" s="70"/>
      <c r="D39" s="59"/>
      <c r="E39" s="59"/>
      <c r="F39" s="59"/>
      <c r="G39" s="60"/>
    </row>
    <row r="40" spans="1:7" ht="21" x14ac:dyDescent="0.25">
      <c r="A40" s="78"/>
      <c r="B40" s="79">
        <v>20</v>
      </c>
      <c r="C40" s="71"/>
      <c r="D40" s="59"/>
      <c r="E40" s="59"/>
      <c r="F40" s="59"/>
      <c r="G40" s="60"/>
    </row>
    <row r="41" spans="1:7" ht="21" x14ac:dyDescent="0.25">
      <c r="A41" s="78"/>
      <c r="B41" s="81">
        <v>21</v>
      </c>
      <c r="C41" s="71"/>
      <c r="D41" s="59"/>
      <c r="E41" s="59"/>
      <c r="F41" s="59"/>
      <c r="G41" s="60"/>
    </row>
    <row r="42" spans="1:7" ht="21" x14ac:dyDescent="0.25">
      <c r="A42" s="78"/>
      <c r="B42" s="79">
        <v>22</v>
      </c>
      <c r="C42" s="70"/>
      <c r="D42" s="59"/>
      <c r="E42" s="59"/>
      <c r="F42" s="59"/>
      <c r="G42" s="60"/>
    </row>
    <row r="43" spans="1:7" ht="21" x14ac:dyDescent="0.25">
      <c r="A43" s="78"/>
      <c r="B43" s="79">
        <v>23</v>
      </c>
      <c r="C43" s="70"/>
      <c r="D43" s="59"/>
      <c r="E43" s="59"/>
      <c r="F43" s="59"/>
      <c r="G43" s="60"/>
    </row>
    <row r="44" spans="1:7" ht="21" x14ac:dyDescent="0.25">
      <c r="A44" s="78"/>
      <c r="B44" s="81">
        <v>24</v>
      </c>
      <c r="C44" s="70"/>
      <c r="D44" s="59"/>
      <c r="E44" s="59"/>
      <c r="F44" s="59"/>
      <c r="G44" s="60"/>
    </row>
    <row r="45" spans="1:7" ht="21.6"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3.8"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4"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7620</xdr:colOff>
                <xdr:row>8</xdr:row>
                <xdr:rowOff>190500</xdr:rowOff>
              </from>
              <to>
                <xdr:col>6</xdr:col>
                <xdr:colOff>68580</xdr:colOff>
                <xdr:row>10</xdr:row>
                <xdr:rowOff>137160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7620</xdr:colOff>
                <xdr:row>1</xdr:row>
                <xdr:rowOff>160020</xdr:rowOff>
              </from>
              <to>
                <xdr:col>6</xdr:col>
                <xdr:colOff>30480</xdr:colOff>
                <xdr:row>3</xdr:row>
                <xdr:rowOff>198120</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7620</xdr:colOff>
                <xdr:row>5</xdr:row>
                <xdr:rowOff>7620</xdr:rowOff>
              </from>
              <to>
                <xdr:col>6</xdr:col>
                <xdr:colOff>53340</xdr:colOff>
                <xdr:row>7</xdr:row>
                <xdr:rowOff>45720</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546875" defaultRowHeight="19.5" customHeight="1" x14ac:dyDescent="0.25"/>
  <cols>
    <col min="1" max="1" width="17.88671875" style="20" customWidth="1"/>
    <col min="2" max="2" width="51.33203125" style="20" customWidth="1"/>
    <col min="3" max="3" width="19.44140625" style="20" customWidth="1"/>
    <col min="4" max="16384" width="1.5546875" style="20"/>
  </cols>
  <sheetData>
    <row r="1" spans="1:4" ht="13.8" thickBot="1" x14ac:dyDescent="0.3">
      <c r="B1" s="21"/>
      <c r="C1" s="21"/>
    </row>
    <row r="2" spans="1:4" ht="42.75" customHeight="1" thickBot="1" x14ac:dyDescent="0.3">
      <c r="A2" s="19"/>
      <c r="B2" s="23" t="s">
        <v>5</v>
      </c>
      <c r="C2" s="15" t="s">
        <v>18</v>
      </c>
    </row>
    <row r="3" spans="1:4" ht="19.5" customHeight="1" x14ac:dyDescent="0.25">
      <c r="A3" s="19"/>
      <c r="B3" s="98" t="s">
        <v>21</v>
      </c>
      <c r="C3" s="16">
        <v>0</v>
      </c>
    </row>
    <row r="4" spans="1:4" ht="19.5" customHeight="1" x14ac:dyDescent="0.25">
      <c r="A4" s="19"/>
      <c r="B4" s="99"/>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2" x14ac:dyDescent="0.25"/>
  <cols>
    <col min="2" max="2" width="51.88671875" customWidth="1"/>
    <col min="3" max="3" width="35" customWidth="1"/>
  </cols>
  <sheetData>
    <row r="3" spans="2:3" ht="27.75" customHeight="1" x14ac:dyDescent="0.25">
      <c r="B3" s="25" t="s">
        <v>16</v>
      </c>
      <c r="C3" s="27">
        <v>0</v>
      </c>
    </row>
    <row r="4" spans="2:3" ht="18"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4140625" defaultRowHeight="13.2" x14ac:dyDescent="0.25"/>
  <cols>
    <col min="1" max="1" width="21.44140625" style="20" customWidth="1"/>
    <col min="2" max="2" width="8.5546875" style="20" customWidth="1"/>
    <col min="3" max="3" width="87" style="20" customWidth="1"/>
    <col min="4" max="4" width="44.109375" style="20" customWidth="1"/>
    <col min="5" max="16384" width="11.44140625" style="20"/>
  </cols>
  <sheetData>
    <row r="1" spans="1:4" ht="18" thickBot="1" x14ac:dyDescent="0.3">
      <c r="A1" s="6" t="s">
        <v>14</v>
      </c>
      <c r="B1" s="7">
        <v>1</v>
      </c>
      <c r="C1" s="17"/>
      <c r="D1" s="85"/>
    </row>
    <row r="2" spans="1:4" ht="23.4" thickBot="1" x14ac:dyDescent="0.3">
      <c r="A2" s="8" t="s">
        <v>3</v>
      </c>
      <c r="B2" s="18" t="s">
        <v>15</v>
      </c>
      <c r="C2" s="8" t="s">
        <v>7</v>
      </c>
      <c r="D2" s="8"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3.8" thickBot="1" x14ac:dyDescent="0.3">
      <c r="A12" s="3"/>
      <c r="B12" s="3"/>
      <c r="C12" s="11"/>
      <c r="D12" s="11"/>
    </row>
    <row r="13" spans="1:4" ht="13.8" thickBot="1" x14ac:dyDescent="0.3">
      <c r="A13" s="12" t="s">
        <v>22</v>
      </c>
      <c r="B13" s="12">
        <f>SUM(B3:B12)</f>
        <v>0</v>
      </c>
      <c r="C13" s="13"/>
      <c r="D13" s="13"/>
    </row>
    <row r="14" spans="1:4" ht="13.8"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3.8"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594360</xdr:colOff>
                <xdr:row>0</xdr:row>
                <xdr:rowOff>182880</xdr:rowOff>
              </from>
              <to>
                <xdr:col>7</xdr:col>
                <xdr:colOff>190500</xdr:colOff>
                <xdr:row>3</xdr:row>
                <xdr:rowOff>53340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4140625" defaultRowHeight="13.2" x14ac:dyDescent="0.25"/>
  <cols>
    <col min="1" max="1" width="21.44140625" style="20" customWidth="1"/>
    <col min="2" max="2" width="8.5546875" style="20" customWidth="1"/>
    <col min="3" max="3" width="87" style="20" customWidth="1"/>
    <col min="4" max="4" width="44.109375" style="20" customWidth="1"/>
    <col min="5" max="16384" width="11.44140625" style="20"/>
  </cols>
  <sheetData>
    <row r="1" spans="1:4" ht="18" thickBot="1" x14ac:dyDescent="0.3">
      <c r="A1" s="42" t="s">
        <v>14</v>
      </c>
      <c r="B1" s="43">
        <v>1</v>
      </c>
      <c r="C1" s="44" t="s">
        <v>23</v>
      </c>
      <c r="D1" s="53"/>
    </row>
    <row r="2" spans="1:4" ht="23.4" thickBot="1" x14ac:dyDescent="0.3">
      <c r="A2" s="45" t="s">
        <v>3</v>
      </c>
      <c r="B2" s="46" t="s">
        <v>15</v>
      </c>
      <c r="C2" s="45" t="s">
        <v>7</v>
      </c>
      <c r="D2" s="45"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8" thickBot="1" x14ac:dyDescent="0.3">
      <c r="A17" s="3"/>
      <c r="B17" s="3"/>
      <c r="C17" s="11"/>
      <c r="D17" s="11"/>
    </row>
    <row r="18" spans="1:8" ht="13.8" thickBot="1" x14ac:dyDescent="0.3">
      <c r="A18" s="47" t="s">
        <v>22</v>
      </c>
      <c r="B18" s="47">
        <f>SUM(B3:B17)</f>
        <v>0</v>
      </c>
      <c r="C18" s="48"/>
      <c r="D18" s="48"/>
    </row>
    <row r="19" spans="1:8" ht="13.8"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3.8"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594360</xdr:colOff>
                <xdr:row>0</xdr:row>
                <xdr:rowOff>182880</xdr:rowOff>
              </from>
              <to>
                <xdr:col>7</xdr:col>
                <xdr:colOff>190500</xdr:colOff>
                <xdr:row>3</xdr:row>
                <xdr:rowOff>53340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DD75B5-8CE0-4660-A6B2-F36366736FCA}">
  <sheetPr codeName="Feuil9"/>
  <dimension ref="A1:H172"/>
  <sheetViews>
    <sheetView tabSelected="1" topLeftCell="A161" workbookViewId="0">
      <selection activeCell="C168" sqref="C168"/>
    </sheetView>
  </sheetViews>
  <sheetFormatPr baseColWidth="10" defaultColWidth="11.44140625" defaultRowHeight="13.2" x14ac:dyDescent="0.25"/>
  <cols>
    <col min="1" max="1" width="21.44140625" style="20" customWidth="1"/>
    <col min="2" max="2" width="8.5546875" style="20" customWidth="1"/>
    <col min="3" max="3" width="87" style="20" customWidth="1"/>
    <col min="4" max="4" width="44.109375" style="20" customWidth="1"/>
    <col min="5" max="16384" width="11.44140625" style="20"/>
  </cols>
  <sheetData>
    <row r="1" spans="1:4" ht="18" thickBot="1" x14ac:dyDescent="0.3">
      <c r="A1" s="42" t="s">
        <v>14</v>
      </c>
      <c r="B1" s="43">
        <v>1</v>
      </c>
      <c r="C1" s="44" t="s">
        <v>23</v>
      </c>
      <c r="D1" s="53">
        <f>Donnees!$C$9</f>
        <v>45370</v>
      </c>
    </row>
    <row r="2" spans="1:4" ht="23.4" thickBot="1" x14ac:dyDescent="0.3">
      <c r="A2" s="45" t="s">
        <v>3</v>
      </c>
      <c r="B2" s="46" t="s">
        <v>15</v>
      </c>
      <c r="C2" s="45" t="s">
        <v>7</v>
      </c>
      <c r="D2" s="45" t="s">
        <v>13</v>
      </c>
    </row>
    <row r="3" spans="1:4" s="52" customFormat="1" ht="26.4" x14ac:dyDescent="0.25">
      <c r="A3" s="5" t="s">
        <v>29</v>
      </c>
      <c r="B3" s="4">
        <v>3</v>
      </c>
      <c r="C3" s="88" t="s">
        <v>30</v>
      </c>
      <c r="D3" s="9"/>
    </row>
    <row r="4" spans="1:4" s="52" customFormat="1" x14ac:dyDescent="0.25">
      <c r="A4" s="1" t="s">
        <v>32</v>
      </c>
      <c r="B4" s="2">
        <v>6</v>
      </c>
      <c r="C4" s="89" t="s">
        <v>33</v>
      </c>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8" thickBot="1" x14ac:dyDescent="0.3">
      <c r="A17" s="3"/>
      <c r="B17" s="3"/>
      <c r="C17" s="11"/>
      <c r="D17" s="11"/>
    </row>
    <row r="18" spans="1:8" ht="13.8" thickBot="1" x14ac:dyDescent="0.3">
      <c r="A18" s="47" t="s">
        <v>22</v>
      </c>
      <c r="B18" s="47">
        <f>SUM(B3:B17)</f>
        <v>9</v>
      </c>
      <c r="C18" s="86" t="s">
        <v>27</v>
      </c>
      <c r="D18" s="48"/>
    </row>
    <row r="19" spans="1:8" ht="14.4" thickBot="1" x14ac:dyDescent="0.35">
      <c r="A19" s="49"/>
      <c r="B19" s="49"/>
      <c r="C19" s="49"/>
      <c r="D19" s="49"/>
    </row>
    <row r="20" spans="1:8" ht="18" thickBot="1" x14ac:dyDescent="0.3">
      <c r="A20" s="42" t="s">
        <v>14</v>
      </c>
      <c r="B20" s="43">
        <v>2</v>
      </c>
      <c r="C20" s="44" t="s">
        <v>23</v>
      </c>
      <c r="D20" s="53">
        <f>$D$1+7</f>
        <v>45377</v>
      </c>
    </row>
    <row r="21" spans="1:8" ht="23.4" thickBot="1" x14ac:dyDescent="0.3">
      <c r="A21" s="45" t="s">
        <v>3</v>
      </c>
      <c r="B21" s="46" t="s">
        <v>15</v>
      </c>
      <c r="C21" s="45" t="s">
        <v>7</v>
      </c>
      <c r="D21" s="45" t="s">
        <v>13</v>
      </c>
    </row>
    <row r="22" spans="1:8" x14ac:dyDescent="0.25">
      <c r="A22" s="5" t="s">
        <v>32</v>
      </c>
      <c r="B22" s="4">
        <v>9</v>
      </c>
      <c r="C22" s="88" t="s">
        <v>34</v>
      </c>
      <c r="D22" s="9"/>
    </row>
    <row r="23" spans="1:8" x14ac:dyDescent="0.25">
      <c r="A23" s="1"/>
      <c r="B23" s="2"/>
      <c r="C23" s="10"/>
      <c r="D23" s="10"/>
    </row>
    <row r="24" spans="1:8" x14ac:dyDescent="0.25">
      <c r="A24" s="1"/>
      <c r="B24" s="2"/>
      <c r="C24" s="10"/>
      <c r="D24" s="10"/>
    </row>
    <row r="25" spans="1:8" ht="12.75" customHeight="1" x14ac:dyDescent="0.25">
      <c r="A25" s="1"/>
      <c r="B25" s="2"/>
      <c r="C25" s="10"/>
      <c r="D25" s="10"/>
      <c r="F25" s="31"/>
      <c r="G25" s="32"/>
      <c r="H25" s="33"/>
    </row>
    <row r="26" spans="1:8" ht="15" x14ac:dyDescent="0.25">
      <c r="A26" s="1"/>
      <c r="B26" s="2"/>
      <c r="C26" s="10"/>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4.4" thickBot="1" x14ac:dyDescent="0.35">
      <c r="A36" s="3"/>
      <c r="B36" s="3"/>
      <c r="C36" s="11"/>
      <c r="D36" s="11"/>
      <c r="F36" s="40"/>
      <c r="G36" s="40"/>
      <c r="H36" s="40"/>
    </row>
    <row r="37" spans="1:8" ht="13.8" thickBot="1" x14ac:dyDescent="0.3">
      <c r="A37" s="47" t="s">
        <v>22</v>
      </c>
      <c r="B37" s="47">
        <f>SUM(B22:B36)</f>
        <v>9</v>
      </c>
      <c r="C37" s="86" t="s">
        <v>27</v>
      </c>
      <c r="D37" s="48"/>
    </row>
    <row r="38" spans="1:8" ht="14.4" thickBot="1" x14ac:dyDescent="0.35">
      <c r="A38" s="49"/>
      <c r="B38" s="49"/>
      <c r="C38" s="49"/>
      <c r="D38" s="49"/>
    </row>
    <row r="39" spans="1:8" ht="18" thickBot="1" x14ac:dyDescent="0.3">
      <c r="A39" s="42" t="s">
        <v>14</v>
      </c>
      <c r="B39" s="43">
        <v>3</v>
      </c>
      <c r="C39" s="44" t="s">
        <v>23</v>
      </c>
      <c r="D39" s="53">
        <f>$D$20+7</f>
        <v>45384</v>
      </c>
    </row>
    <row r="40" spans="1:8" ht="23.4" thickBot="1" x14ac:dyDescent="0.3">
      <c r="A40" s="45" t="s">
        <v>3</v>
      </c>
      <c r="B40" s="46" t="s">
        <v>15</v>
      </c>
      <c r="C40" s="45" t="s">
        <v>7</v>
      </c>
      <c r="D40" s="45" t="s">
        <v>13</v>
      </c>
    </row>
    <row r="41" spans="1:8" x14ac:dyDescent="0.25">
      <c r="A41" s="5"/>
      <c r="B41" s="4"/>
      <c r="C41" s="9"/>
      <c r="D41" s="9"/>
    </row>
    <row r="42" spans="1:8" x14ac:dyDescent="0.25">
      <c r="A42" s="1"/>
      <c r="B42" s="2"/>
      <c r="C42" s="10"/>
      <c r="D42" s="10"/>
    </row>
    <row r="43" spans="1:8" x14ac:dyDescent="0.25">
      <c r="A43" s="1"/>
      <c r="B43" s="2"/>
      <c r="C43" s="10"/>
      <c r="D43" s="10"/>
    </row>
    <row r="44" spans="1:8" x14ac:dyDescent="0.25">
      <c r="A44" s="1"/>
      <c r="B44" s="2"/>
      <c r="C44" s="10"/>
      <c r="D44" s="10"/>
    </row>
    <row r="45" spans="1:8" x14ac:dyDescent="0.25">
      <c r="A45" s="1"/>
      <c r="B45" s="2"/>
      <c r="C45" s="10"/>
      <c r="D45" s="10"/>
    </row>
    <row r="46" spans="1:8" x14ac:dyDescent="0.25">
      <c r="A46" s="1"/>
      <c r="B46" s="2"/>
      <c r="C46" s="10"/>
      <c r="D46" s="10"/>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3.8" thickBot="1" x14ac:dyDescent="0.3">
      <c r="A55" s="3"/>
      <c r="B55" s="3"/>
      <c r="C55" s="11"/>
      <c r="D55" s="11"/>
    </row>
    <row r="56" spans="1:4" ht="13.8" thickBot="1" x14ac:dyDescent="0.3">
      <c r="A56" s="47" t="s">
        <v>22</v>
      </c>
      <c r="B56" s="47">
        <f>SUM(B41:B55)</f>
        <v>0</v>
      </c>
      <c r="C56" s="86" t="s">
        <v>27</v>
      </c>
      <c r="D56" s="48"/>
    </row>
    <row r="57" spans="1:4" ht="14.4" thickBot="1" x14ac:dyDescent="0.35">
      <c r="A57" s="49"/>
      <c r="B57" s="49"/>
      <c r="C57" s="49"/>
      <c r="D57" s="49"/>
    </row>
    <row r="58" spans="1:4" ht="18" thickBot="1" x14ac:dyDescent="0.3">
      <c r="A58" s="42" t="s">
        <v>14</v>
      </c>
      <c r="B58" s="43">
        <v>4</v>
      </c>
      <c r="C58" s="44" t="s">
        <v>23</v>
      </c>
      <c r="D58" s="53">
        <f>$D$39+7</f>
        <v>45391</v>
      </c>
    </row>
    <row r="59" spans="1:4" ht="23.4" thickBot="1" x14ac:dyDescent="0.3">
      <c r="A59" s="45" t="s">
        <v>3</v>
      </c>
      <c r="B59" s="46" t="s">
        <v>15</v>
      </c>
      <c r="C59" s="45" t="s">
        <v>7</v>
      </c>
      <c r="D59" s="45" t="s">
        <v>13</v>
      </c>
    </row>
    <row r="60" spans="1:4" x14ac:dyDescent="0.25">
      <c r="A60" s="5"/>
      <c r="B60" s="4"/>
      <c r="C60" s="9"/>
      <c r="D60" s="9"/>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3.8" thickBot="1" x14ac:dyDescent="0.3">
      <c r="A74" s="3"/>
      <c r="B74" s="3"/>
      <c r="C74" s="11"/>
      <c r="D74" s="11"/>
    </row>
    <row r="75" spans="1:4" ht="13.8" thickBot="1" x14ac:dyDescent="0.3">
      <c r="A75" s="47" t="s">
        <v>22</v>
      </c>
      <c r="B75" s="47">
        <f>SUM(B60:B74)</f>
        <v>0</v>
      </c>
      <c r="C75" s="86" t="s">
        <v>27</v>
      </c>
      <c r="D75" s="48"/>
    </row>
    <row r="76" spans="1:4" ht="14.4" thickBot="1" x14ac:dyDescent="0.35">
      <c r="A76" s="49"/>
      <c r="B76" s="49"/>
      <c r="C76" s="49"/>
      <c r="D76" s="49"/>
    </row>
    <row r="77" spans="1:4" ht="18" thickBot="1" x14ac:dyDescent="0.3">
      <c r="A77" s="42" t="s">
        <v>14</v>
      </c>
      <c r="B77" s="43">
        <v>5</v>
      </c>
      <c r="C77" s="44" t="s">
        <v>23</v>
      </c>
      <c r="D77" s="53">
        <f>$D$58+7</f>
        <v>45398</v>
      </c>
    </row>
    <row r="78" spans="1:4" ht="23.4" thickBot="1" x14ac:dyDescent="0.3">
      <c r="A78" s="45" t="s">
        <v>3</v>
      </c>
      <c r="B78" s="46" t="s">
        <v>15</v>
      </c>
      <c r="C78" s="45" t="s">
        <v>7</v>
      </c>
      <c r="D78" s="45" t="s">
        <v>13</v>
      </c>
    </row>
    <row r="79" spans="1:4" ht="52.8" x14ac:dyDescent="0.25">
      <c r="A79" s="5" t="s">
        <v>35</v>
      </c>
      <c r="B79" s="4">
        <v>6</v>
      </c>
      <c r="C79" s="88" t="s">
        <v>36</v>
      </c>
      <c r="D79" s="9"/>
    </row>
    <row r="80" spans="1:4" x14ac:dyDescent="0.25">
      <c r="A80" s="1" t="s">
        <v>32</v>
      </c>
      <c r="B80" s="2">
        <v>3</v>
      </c>
      <c r="C80" s="89" t="s">
        <v>37</v>
      </c>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3.8" thickBot="1" x14ac:dyDescent="0.3">
      <c r="A93" s="3"/>
      <c r="B93" s="3"/>
      <c r="C93" s="11"/>
      <c r="D93" s="11"/>
    </row>
    <row r="94" spans="1:4" ht="13.8" thickBot="1" x14ac:dyDescent="0.3">
      <c r="A94" s="47" t="s">
        <v>22</v>
      </c>
      <c r="B94" s="47">
        <f>SUM(B79:B93)</f>
        <v>9</v>
      </c>
      <c r="C94" s="86" t="s">
        <v>27</v>
      </c>
      <c r="D94" s="48"/>
    </row>
    <row r="95" spans="1:4" ht="14.4" thickBot="1" x14ac:dyDescent="0.35">
      <c r="A95" s="49"/>
      <c r="B95" s="49"/>
      <c r="C95" s="49"/>
      <c r="D95" s="49"/>
    </row>
    <row r="96" spans="1:4" ht="18" thickBot="1" x14ac:dyDescent="0.3">
      <c r="A96" s="42" t="s">
        <v>14</v>
      </c>
      <c r="B96" s="43">
        <v>6</v>
      </c>
      <c r="C96" s="44" t="s">
        <v>23</v>
      </c>
      <c r="D96" s="53">
        <f>$D$77+7</f>
        <v>45405</v>
      </c>
    </row>
    <row r="97" spans="1:4" ht="23.4" thickBot="1" x14ac:dyDescent="0.3">
      <c r="A97" s="45" t="s">
        <v>3</v>
      </c>
      <c r="B97" s="46" t="s">
        <v>15</v>
      </c>
      <c r="C97" s="45" t="s">
        <v>7</v>
      </c>
      <c r="D97" s="45" t="s">
        <v>13</v>
      </c>
    </row>
    <row r="98" spans="1:4" ht="39.6" x14ac:dyDescent="0.25">
      <c r="A98" s="90" t="s">
        <v>49</v>
      </c>
      <c r="B98" s="4">
        <v>9</v>
      </c>
      <c r="C98" s="88" t="s">
        <v>38</v>
      </c>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3.8" thickBot="1" x14ac:dyDescent="0.3">
      <c r="A112" s="3"/>
      <c r="B112" s="3"/>
      <c r="C112" s="11"/>
      <c r="D112" s="11"/>
    </row>
    <row r="113" spans="1:4" ht="13.8" thickBot="1" x14ac:dyDescent="0.3">
      <c r="A113" s="47" t="s">
        <v>22</v>
      </c>
      <c r="B113" s="47">
        <f>SUM(B98:B112)</f>
        <v>9</v>
      </c>
      <c r="C113" s="86" t="s">
        <v>27</v>
      </c>
      <c r="D113" s="48"/>
    </row>
    <row r="114" spans="1:4" ht="14.4" thickBot="1" x14ac:dyDescent="0.35">
      <c r="A114" s="49"/>
      <c r="B114" s="49"/>
      <c r="C114" s="49"/>
      <c r="D114" s="49"/>
    </row>
    <row r="115" spans="1:4" ht="18" thickBot="1" x14ac:dyDescent="0.3">
      <c r="A115" s="42" t="s">
        <v>14</v>
      </c>
      <c r="B115" s="43">
        <v>7</v>
      </c>
      <c r="C115" s="44" t="s">
        <v>23</v>
      </c>
      <c r="D115" s="53">
        <f>$D$96+7</f>
        <v>45412</v>
      </c>
    </row>
    <row r="116" spans="1:4" ht="23.4" thickBot="1" x14ac:dyDescent="0.3">
      <c r="A116" s="45" t="s">
        <v>3</v>
      </c>
      <c r="B116" s="46" t="s">
        <v>15</v>
      </c>
      <c r="C116" s="45" t="s">
        <v>7</v>
      </c>
      <c r="D116" s="45" t="s">
        <v>13</v>
      </c>
    </row>
    <row r="117" spans="1:4" ht="66" x14ac:dyDescent="0.25">
      <c r="A117" s="5" t="s">
        <v>35</v>
      </c>
      <c r="B117" s="4">
        <v>6</v>
      </c>
      <c r="C117" s="88" t="s">
        <v>39</v>
      </c>
      <c r="D117" s="88"/>
    </row>
    <row r="118" spans="1:4" ht="26.4" x14ac:dyDescent="0.25">
      <c r="A118" s="91" t="s">
        <v>41</v>
      </c>
      <c r="B118" s="2">
        <v>3</v>
      </c>
      <c r="C118" s="89" t="s">
        <v>42</v>
      </c>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3.8" thickBot="1" x14ac:dyDescent="0.3">
      <c r="A131" s="3"/>
      <c r="B131" s="3"/>
      <c r="C131" s="11"/>
      <c r="D131" s="11"/>
    </row>
    <row r="132" spans="1:4" ht="13.8" thickBot="1" x14ac:dyDescent="0.3">
      <c r="A132" s="47" t="s">
        <v>22</v>
      </c>
      <c r="B132" s="47">
        <f>SUM(B117:B131)</f>
        <v>9</v>
      </c>
      <c r="C132" s="86" t="s">
        <v>27</v>
      </c>
      <c r="D132" s="48"/>
    </row>
    <row r="133" spans="1:4" ht="14.4" thickBot="1" x14ac:dyDescent="0.35">
      <c r="A133" s="49"/>
      <c r="B133" s="49"/>
      <c r="C133" s="49"/>
      <c r="D133" s="49"/>
    </row>
    <row r="134" spans="1:4" ht="18" thickBot="1" x14ac:dyDescent="0.3">
      <c r="A134" s="42" t="s">
        <v>14</v>
      </c>
      <c r="B134" s="43">
        <v>8</v>
      </c>
      <c r="C134" s="44" t="s">
        <v>23</v>
      </c>
      <c r="D134" s="53">
        <f>$D$115+7</f>
        <v>45419</v>
      </c>
    </row>
    <row r="135" spans="1:4" ht="23.4" thickBot="1" x14ac:dyDescent="0.3">
      <c r="A135" s="45" t="s">
        <v>3</v>
      </c>
      <c r="B135" s="46" t="s">
        <v>15</v>
      </c>
      <c r="C135" s="45" t="s">
        <v>7</v>
      </c>
      <c r="D135" s="45" t="s">
        <v>13</v>
      </c>
    </row>
    <row r="136" spans="1:4" ht="13.8" thickBot="1" x14ac:dyDescent="0.3">
      <c r="A136" s="5" t="s">
        <v>21</v>
      </c>
      <c r="B136" s="4">
        <v>9</v>
      </c>
      <c r="C136" s="88" t="s">
        <v>43</v>
      </c>
      <c r="D136" s="9"/>
    </row>
    <row r="137" spans="1:4" x14ac:dyDescent="0.25">
      <c r="A137" s="90"/>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3.8" thickBot="1" x14ac:dyDescent="0.3">
      <c r="A150" s="3"/>
      <c r="B150" s="3"/>
      <c r="C150" s="11"/>
      <c r="D150" s="11"/>
    </row>
    <row r="151" spans="1:4" ht="13.8" thickBot="1" x14ac:dyDescent="0.3">
      <c r="A151" s="47" t="s">
        <v>22</v>
      </c>
      <c r="B151" s="47">
        <f>SUM(B136:B150)</f>
        <v>9</v>
      </c>
      <c r="C151" s="86" t="s">
        <v>27</v>
      </c>
      <c r="D151" s="48"/>
    </row>
    <row r="152" spans="1:4" ht="14.4" thickBot="1" x14ac:dyDescent="0.35">
      <c r="A152" s="49"/>
      <c r="B152" s="49"/>
      <c r="C152" s="49"/>
      <c r="D152" s="49"/>
    </row>
    <row r="153" spans="1:4" ht="18" thickBot="1" x14ac:dyDescent="0.3">
      <c r="A153" s="42" t="s">
        <v>14</v>
      </c>
      <c r="B153" s="43">
        <v>9</v>
      </c>
      <c r="C153" s="44" t="s">
        <v>23</v>
      </c>
      <c r="D153" s="53">
        <f>$D$134+7</f>
        <v>45426</v>
      </c>
    </row>
    <row r="154" spans="1:4" ht="23.4" thickBot="1" x14ac:dyDescent="0.3">
      <c r="A154" s="45" t="s">
        <v>3</v>
      </c>
      <c r="B154" s="46" t="s">
        <v>15</v>
      </c>
      <c r="C154" s="45" t="s">
        <v>7</v>
      </c>
      <c r="D154" s="45" t="s">
        <v>13</v>
      </c>
    </row>
    <row r="155" spans="1:4" ht="39.6" x14ac:dyDescent="0.25">
      <c r="A155" s="90" t="s">
        <v>44</v>
      </c>
      <c r="B155" s="4">
        <v>3</v>
      </c>
      <c r="C155" s="88" t="s">
        <v>45</v>
      </c>
      <c r="D155" s="9"/>
    </row>
    <row r="156" spans="1:4" ht="79.2" x14ac:dyDescent="0.25">
      <c r="A156" s="91" t="s">
        <v>47</v>
      </c>
      <c r="B156" s="2">
        <v>6</v>
      </c>
      <c r="C156" s="89" t="s">
        <v>46</v>
      </c>
      <c r="D156" s="92" t="s">
        <v>50</v>
      </c>
    </row>
    <row r="157" spans="1:4" ht="26.4" x14ac:dyDescent="0.25">
      <c r="A157" s="91" t="s">
        <v>44</v>
      </c>
      <c r="B157" s="2">
        <v>1</v>
      </c>
      <c r="C157" s="89" t="s">
        <v>48</v>
      </c>
      <c r="D157" s="10"/>
    </row>
    <row r="158" spans="1:4" ht="39.6" x14ac:dyDescent="0.25">
      <c r="A158" s="1" t="s">
        <v>32</v>
      </c>
      <c r="B158" s="2">
        <v>4</v>
      </c>
      <c r="C158" s="89" t="s">
        <v>51</v>
      </c>
      <c r="D158" s="10"/>
    </row>
    <row r="159" spans="1:4" ht="39.6" x14ac:dyDescent="0.25">
      <c r="A159" s="1" t="s">
        <v>44</v>
      </c>
      <c r="B159" s="2">
        <v>2</v>
      </c>
      <c r="C159" s="89" t="s">
        <v>52</v>
      </c>
      <c r="D159" s="10"/>
    </row>
    <row r="160" spans="1:4" ht="92.4" x14ac:dyDescent="0.25">
      <c r="A160" s="1" t="s">
        <v>32</v>
      </c>
      <c r="B160" s="2">
        <v>6</v>
      </c>
      <c r="C160" s="93" t="s">
        <v>53</v>
      </c>
      <c r="D160" s="10"/>
    </row>
    <row r="161" spans="1:4" ht="39.6" x14ac:dyDescent="0.25">
      <c r="A161" s="1" t="s">
        <v>44</v>
      </c>
      <c r="B161" s="2">
        <v>2</v>
      </c>
      <c r="C161" s="89" t="s">
        <v>54</v>
      </c>
      <c r="D161" s="10"/>
    </row>
    <row r="162" spans="1:4" ht="26.4" x14ac:dyDescent="0.25">
      <c r="A162" s="91" t="s">
        <v>55</v>
      </c>
      <c r="B162" s="2">
        <v>1</v>
      </c>
      <c r="C162" s="89" t="s">
        <v>56</v>
      </c>
      <c r="D162" s="10"/>
    </row>
    <row r="163" spans="1:4" ht="26.4" x14ac:dyDescent="0.25">
      <c r="A163" s="91" t="s">
        <v>59</v>
      </c>
      <c r="B163" s="2">
        <v>1</v>
      </c>
      <c r="C163" s="89" t="s">
        <v>60</v>
      </c>
      <c r="D163" s="10"/>
    </row>
    <row r="164" spans="1:4" x14ac:dyDescent="0.25">
      <c r="A164" s="2" t="s">
        <v>32</v>
      </c>
      <c r="B164" s="2">
        <v>1</v>
      </c>
      <c r="C164" s="89" t="s">
        <v>57</v>
      </c>
      <c r="D164" s="10"/>
    </row>
    <row r="165" spans="1:4" ht="52.8" x14ac:dyDescent="0.25">
      <c r="A165" s="94" t="s">
        <v>40</v>
      </c>
      <c r="B165" s="2">
        <v>2</v>
      </c>
      <c r="C165" s="89" t="s">
        <v>58</v>
      </c>
      <c r="D165" s="10"/>
    </row>
    <row r="166" spans="1:4" ht="52.8" x14ac:dyDescent="0.25">
      <c r="A166" s="2" t="s">
        <v>49</v>
      </c>
      <c r="B166" s="2">
        <v>2</v>
      </c>
      <c r="C166" s="89" t="s">
        <v>61</v>
      </c>
      <c r="D166" s="10"/>
    </row>
    <row r="167" spans="1:4" x14ac:dyDescent="0.25">
      <c r="A167" s="50"/>
      <c r="B167" s="50"/>
      <c r="C167" s="95"/>
      <c r="D167" s="51"/>
    </row>
    <row r="168" spans="1:4" x14ac:dyDescent="0.25">
      <c r="A168" s="50"/>
      <c r="B168" s="50"/>
      <c r="C168" s="51"/>
      <c r="D168" s="51"/>
    </row>
    <row r="169" spans="1:4" ht="13.8" thickBot="1" x14ac:dyDescent="0.3">
      <c r="A169" s="3"/>
      <c r="B169" s="3"/>
      <c r="C169" s="11"/>
      <c r="D169" s="11"/>
    </row>
    <row r="170" spans="1:4" ht="13.8" thickBot="1" x14ac:dyDescent="0.3">
      <c r="A170" s="47" t="s">
        <v>22</v>
      </c>
      <c r="B170" s="47">
        <f>SUM(B155:B169)</f>
        <v>31</v>
      </c>
      <c r="C170" s="86" t="s">
        <v>27</v>
      </c>
      <c r="D170" s="48"/>
    </row>
    <row r="171" spans="1:4" ht="13.8" x14ac:dyDescent="0.3">
      <c r="A171" s="49"/>
      <c r="B171" s="49"/>
      <c r="C171" s="49"/>
      <c r="D171" s="49"/>
    </row>
    <row r="172" spans="1:4" x14ac:dyDescent="0.25">
      <c r="A172" s="87" t="s">
        <v>28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83AC73CB-5048-4E9E-80F0-424ED56E6DB2}">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B155:B169" xr:uid="{8B005AC8-6075-447E-9C5E-2935FC014ED7}">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B170" xr:uid="{AD71BCC7-7A4E-4F61-B316-BAEC506A6A30}">
      <formula1>0</formula1>
      <formula2>NbPerWeek * NbQuartPer</formula2>
    </dataValidation>
    <dataValidation type="list" allowBlank="1" showInputMessage="1" showErrorMessage="1" sqref="A3:A17 A22:A36 A41:A55 A60:A74 A79:A93 A98:A112 A117:A131 A155:A169 A136:A150" xr:uid="{A996C1ED-2ECD-4AD2-9DD2-8FCBF499E5DA}">
      <formula1>lstTasks</formula1>
    </dataValidation>
  </dataValidations>
  <hyperlinks>
    <hyperlink ref="D156" r:id="rId1" location=":~:text=Le%20chiffre%20de%20Vigen%C3%A8re%20est,de%20C%C3%A9sar%20(qu'il%20utilise" xr:uid="{3057BF4D-B9D8-4802-866B-715FF28C15F5}"/>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9937" r:id="rId5" name="btnImportRealisation">
          <controlPr defaultSize="0" autoLine="0" r:id="rId6">
            <anchor moveWithCells="1">
              <from>
                <xdr:col>4</xdr:col>
                <xdr:colOff>594360</xdr:colOff>
                <xdr:row>0</xdr:row>
                <xdr:rowOff>182880</xdr:rowOff>
              </from>
              <to>
                <xdr:col>7</xdr:col>
                <xdr:colOff>190500</xdr:colOff>
                <xdr:row>2</xdr:row>
                <xdr:rowOff>220980</xdr:rowOff>
              </to>
            </anchor>
          </controlPr>
        </control>
      </mc:Choice>
      <mc:Fallback>
        <control shapeId="39937" r:id="rId5"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3.xml><?xml version="1.0" encoding="utf-8"?>
<ds:datastoreItem xmlns:ds="http://schemas.openxmlformats.org/officeDocument/2006/customXml" ds:itemID="{483719EA-391A-4C4B-985B-9805B7FCB9D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Yago Iglesias</dc:creator>
  <cp:lastModifiedBy>Yago Iglesias</cp:lastModifiedBy>
  <cp:lastPrinted>2013-08-29T11:33:15Z</cp:lastPrinted>
  <dcterms:created xsi:type="dcterms:W3CDTF">1996-10-21T11:03:58Z</dcterms:created>
  <dcterms:modified xsi:type="dcterms:W3CDTF">2024-05-28T16:47:21Z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